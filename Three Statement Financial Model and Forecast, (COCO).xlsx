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66925"/>
  <xr:revisionPtr revIDLastSave="0" documentId="8_{F978437B-14F8-4452-8546-42323F0C254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  <c r="J11" i="1"/>
  <c r="I11" i="1"/>
  <c r="H11" i="1"/>
  <c r="I103" i="1"/>
  <c r="H103" i="1"/>
  <c r="K93" i="1"/>
  <c r="J93" i="1"/>
  <c r="I93" i="1"/>
  <c r="H75" i="1"/>
  <c r="H71" i="1"/>
  <c r="I67" i="1"/>
  <c r="D64" i="1"/>
  <c r="I24" i="1"/>
  <c r="H24" i="1"/>
  <c r="H36" i="1" s="1"/>
  <c r="D23" i="1"/>
  <c r="G22" i="1"/>
  <c r="F22" i="1"/>
  <c r="E22" i="1"/>
  <c r="D22" i="1"/>
  <c r="G21" i="1"/>
  <c r="D21" i="1"/>
  <c r="E21" i="1"/>
  <c r="F21" i="1"/>
  <c r="G20" i="1"/>
  <c r="H35" i="1" s="1"/>
  <c r="E20" i="1"/>
  <c r="F20" i="1"/>
  <c r="G13" i="1"/>
  <c r="G23" i="1" s="1"/>
  <c r="F13" i="1"/>
  <c r="F23" i="1" s="1"/>
  <c r="E13" i="1"/>
  <c r="E23" i="1" s="1"/>
  <c r="H84" i="1" l="1"/>
  <c r="I36" i="1"/>
  <c r="I85" i="1"/>
  <c r="H85" i="1"/>
  <c r="H23" i="1"/>
  <c r="H21" i="1"/>
  <c r="H22" i="1"/>
  <c r="H20" i="1"/>
  <c r="H48" i="1" l="1"/>
  <c r="H89" i="1" s="1"/>
  <c r="H47" i="1"/>
  <c r="H88" i="1" s="1"/>
  <c r="H46" i="1"/>
  <c r="H87" i="1" s="1"/>
  <c r="H29" i="1"/>
  <c r="H93" i="1" s="1"/>
  <c r="H28" i="1"/>
  <c r="H26" i="1"/>
  <c r="H83" i="1" s="1"/>
  <c r="H90" i="1" s="1"/>
  <c r="H27" i="1"/>
  <c r="H37" i="1"/>
  <c r="I35" i="1"/>
  <c r="H15" i="1"/>
  <c r="H16" i="1" s="1"/>
  <c r="H76" i="1" s="1"/>
  <c r="I23" i="1"/>
  <c r="I22" i="1"/>
  <c r="J22" i="1" s="1"/>
  <c r="H6" i="1"/>
  <c r="I20" i="1"/>
  <c r="J20" i="1" s="1"/>
  <c r="I27" i="1" l="1"/>
  <c r="I92" i="1" s="1"/>
  <c r="I94" i="1" s="1"/>
  <c r="H92" i="1"/>
  <c r="H94" i="1" s="1"/>
  <c r="H105" i="1"/>
  <c r="H34" i="1" s="1"/>
  <c r="I84" i="1"/>
  <c r="H86" i="1"/>
  <c r="H40" i="1"/>
  <c r="H41" i="1"/>
  <c r="I46" i="1"/>
  <c r="I47" i="1"/>
  <c r="I48" i="1"/>
  <c r="I28" i="1"/>
  <c r="J28" i="1" s="1"/>
  <c r="K28" i="1" s="1"/>
  <c r="K83" i="1" s="1"/>
  <c r="K90" i="1" s="1"/>
  <c r="I26" i="1"/>
  <c r="I15" i="1"/>
  <c r="I16" i="1" s="1"/>
  <c r="J23" i="1"/>
  <c r="J35" i="1"/>
  <c r="I37" i="1"/>
  <c r="I6" i="1"/>
  <c r="I8" i="1" s="1"/>
  <c r="H8" i="1"/>
  <c r="J6" i="1"/>
  <c r="J37" i="1" l="1"/>
  <c r="J86" i="1"/>
  <c r="I86" i="1"/>
  <c r="K35" i="1"/>
  <c r="K84" i="1"/>
  <c r="J84" i="1"/>
  <c r="J26" i="1"/>
  <c r="J83" i="1" s="1"/>
  <c r="J90" i="1" s="1"/>
  <c r="I83" i="1"/>
  <c r="I90" i="1" s="1"/>
  <c r="I105" i="1" s="1"/>
  <c r="I34" i="1" s="1"/>
  <c r="J48" i="1"/>
  <c r="I89" i="1"/>
  <c r="J47" i="1"/>
  <c r="I88" i="1"/>
  <c r="J46" i="1"/>
  <c r="I87" i="1"/>
  <c r="I41" i="1"/>
  <c r="J27" i="1"/>
  <c r="I40" i="1"/>
  <c r="J40" i="1" s="1"/>
  <c r="J15" i="1"/>
  <c r="J16" i="1" s="1"/>
  <c r="K23" i="1"/>
  <c r="K15" i="1" s="1"/>
  <c r="K16" i="1" s="1"/>
  <c r="K6" i="1"/>
  <c r="J8" i="1"/>
  <c r="J7" i="1"/>
  <c r="J24" i="1" s="1"/>
  <c r="J36" i="1" s="1"/>
  <c r="K27" i="1" l="1"/>
  <c r="J92" i="1"/>
  <c r="J94" i="1" s="1"/>
  <c r="J105" i="1"/>
  <c r="J34" i="1" s="1"/>
  <c r="J85" i="1"/>
  <c r="K46" i="1"/>
  <c r="K87" i="1" s="1"/>
  <c r="J87" i="1"/>
  <c r="K47" i="1"/>
  <c r="K88" i="1" s="1"/>
  <c r="J88" i="1"/>
  <c r="K48" i="1"/>
  <c r="K89" i="1" s="1"/>
  <c r="J89" i="1"/>
  <c r="K37" i="1"/>
  <c r="K86" i="1"/>
  <c r="J41" i="1"/>
  <c r="K41" i="1" s="1"/>
  <c r="K8" i="1"/>
  <c r="K7" i="1"/>
  <c r="K24" i="1" s="1"/>
  <c r="K36" i="1" s="1"/>
  <c r="K85" i="1" s="1"/>
  <c r="K92" i="1" l="1"/>
  <c r="K94" i="1" s="1"/>
  <c r="K105" i="1" s="1"/>
  <c r="K34" i="1" s="1"/>
  <c r="K40" i="1"/>
</calcChain>
</file>

<file path=xl/sharedStrings.xml><?xml version="1.0" encoding="utf-8"?>
<sst xmlns="http://schemas.openxmlformats.org/spreadsheetml/2006/main" count="92" uniqueCount="76">
  <si>
    <t>$ in Millions</t>
  </si>
  <si>
    <t>Actuals</t>
  </si>
  <si>
    <t>Projections</t>
  </si>
  <si>
    <t>x</t>
  </si>
  <si>
    <t>Income Statement</t>
  </si>
  <si>
    <t>Revenue</t>
  </si>
  <si>
    <t>Cost of Goods sold</t>
  </si>
  <si>
    <t>Operating Expenses</t>
  </si>
  <si>
    <t>Operating Profit</t>
  </si>
  <si>
    <t>Inerest Income</t>
  </si>
  <si>
    <t>Interest Expense</t>
  </si>
  <si>
    <t>Pretax Profit</t>
  </si>
  <si>
    <t>Tax Expense</t>
  </si>
  <si>
    <t>Net Income</t>
  </si>
  <si>
    <t>Margins / Growth Rates</t>
  </si>
  <si>
    <t>Revenue Growth Rate</t>
  </si>
  <si>
    <t>Gross Profit Margin</t>
  </si>
  <si>
    <t>Operating Expenses as % of Revenue</t>
  </si>
  <si>
    <t>Tax Rate</t>
  </si>
  <si>
    <t>Memo: COGS growth rate</t>
  </si>
  <si>
    <t>Memo: Depreciation in opex and COGS</t>
  </si>
  <si>
    <t>Memo: Capital Expenditures</t>
  </si>
  <si>
    <t>Memo: Amortization in opex and COGS</t>
  </si>
  <si>
    <t>Memo: Purchases of Intangibles</t>
  </si>
  <si>
    <t>Memo: % Interest Earned on Cash</t>
  </si>
  <si>
    <t>Memo: % Interest Rate on Debt</t>
  </si>
  <si>
    <t>Balance Sheet</t>
  </si>
  <si>
    <t>Cash and Equivalents</t>
  </si>
  <si>
    <t>Accounts Receivable</t>
  </si>
  <si>
    <t>Inventory</t>
  </si>
  <si>
    <t>Prepaid Expenses and Other WC Assets</t>
  </si>
  <si>
    <t>Current Assets</t>
  </si>
  <si>
    <t>Property Plant and Equipment</t>
  </si>
  <si>
    <t>Intangible Assets</t>
  </si>
  <si>
    <t>Non Current Assets</t>
  </si>
  <si>
    <t>Total Assets</t>
  </si>
  <si>
    <t>Accounts Payable</t>
  </si>
  <si>
    <t>Accrued Expenses and Other</t>
  </si>
  <si>
    <t>Other Current Liabilities</t>
  </si>
  <si>
    <t>Total Current Liabilities</t>
  </si>
  <si>
    <t>Revolver</t>
  </si>
  <si>
    <t>Long Term Debt</t>
  </si>
  <si>
    <t>Other Liabilities</t>
  </si>
  <si>
    <t xml:space="preserve"> Total Liabilities</t>
  </si>
  <si>
    <t>Common Stock and APIC</t>
  </si>
  <si>
    <t>Treasury Stock</t>
  </si>
  <si>
    <t>Other Comprehensive Income</t>
  </si>
  <si>
    <t>Retained Earnings</t>
  </si>
  <si>
    <t>Total Equity</t>
  </si>
  <si>
    <t>Total Liabilities and Equity</t>
  </si>
  <si>
    <t xml:space="preserve">Balance </t>
  </si>
  <si>
    <t xml:space="preserve">Schedules </t>
  </si>
  <si>
    <t>Common Stock and APIC - BOP</t>
  </si>
  <si>
    <t>New Issuances of Common Stock</t>
  </si>
  <si>
    <t>Common Stock and APIC - EOP</t>
  </si>
  <si>
    <t>Treasury Stock - BOP</t>
  </si>
  <si>
    <t>New Repurchases</t>
  </si>
  <si>
    <t>Treasury Stock - EOP</t>
  </si>
  <si>
    <t>Retained Earnings - BOP</t>
  </si>
  <si>
    <t>Common Dividends</t>
  </si>
  <si>
    <t>Retained Earnings - EOP</t>
  </si>
  <si>
    <t>Cash Flow Statement</t>
  </si>
  <si>
    <t>Net Income (GAAP)</t>
  </si>
  <si>
    <t>Depreciation and Amortization</t>
  </si>
  <si>
    <t>D&amp;A</t>
  </si>
  <si>
    <t>WC</t>
  </si>
  <si>
    <t>Cash Flow from Operations</t>
  </si>
  <si>
    <t>Capital Expenditures</t>
  </si>
  <si>
    <t>Purchases of Intangible Assets</t>
  </si>
  <si>
    <t>Cash for Investing Activities</t>
  </si>
  <si>
    <t>Issuances of Common Stock</t>
  </si>
  <si>
    <t>Repurchases</t>
  </si>
  <si>
    <t>Dividends</t>
  </si>
  <si>
    <t>Cash from Finance Activities</t>
  </si>
  <si>
    <t>Total Change in Cash</t>
  </si>
  <si>
    <t>Total Revolver Borrowing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</si>
</sst>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0.0_);\(0.0\)"/>
    <numFmt numFmtId="167" formatCode="0.00_);\(0.00\)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5" fontId="3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165" fontId="1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6" fontId="0" fillId="0" borderId="0" xfId="0" applyNumberFormat="1"/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65" fontId="0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165" fontId="0" fillId="2" borderId="0" xfId="0" applyNumberFormat="1" applyFill="1" applyAlignment="1">
      <alignment horizontal="center"/>
    </xf>
    <xf numFmtId="166" fontId="1" fillId="0" borderId="0" xfId="0" applyNumberFormat="1" applyFont="1" applyAlignment="1">
      <alignment horizontal="center" wrapText="1"/>
    </xf>
    <xf numFmtId="164" fontId="6" fillId="0" borderId="0" xfId="0" applyNumberFormat="1" applyFont="1" applyAlignment="1">
      <alignment horizontal="center"/>
    </xf>
    <xf numFmtId="164" fontId="6" fillId="0" borderId="0" xfId="0" applyNumberFormat="1" applyFont="1"/>
    <xf numFmtId="164" fontId="0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8"/>
  <sheetViews>
    <sheetView tabSelected="1" topLeftCell="E1" workbookViewId="0">
      <selection activeCell="H12" sqref="H12:K12"/>
    </sheetView>
  </sheetViews>
  <sheetFormatPr defaultRowHeight="15"/>
  <cols>
    <col min="1" max="1" width="11.42578125" bestFit="1" customWidth="1"/>
    <col min="3" max="3" width="36.5703125" bestFit="1" customWidth="1"/>
    <col min="4" max="6" width="9.42578125" bestFit="1" customWidth="1"/>
    <col min="7" max="7" width="9.5703125" bestFit="1" customWidth="1"/>
    <col min="8" max="8" width="24.5703125" bestFit="1" customWidth="1"/>
    <col min="10" max="10" width="19.85546875" bestFit="1" customWidth="1"/>
    <col min="13" max="13" width="11" bestFit="1" customWidth="1"/>
  </cols>
  <sheetData>
    <row r="1" spans="1:11">
      <c r="A1" t="s">
        <v>0</v>
      </c>
    </row>
    <row r="2" spans="1:11">
      <c r="D2" s="29" t="s">
        <v>1</v>
      </c>
      <c r="E2" s="29"/>
      <c r="F2" s="29"/>
      <c r="H2" s="29" t="s">
        <v>2</v>
      </c>
      <c r="I2" s="29"/>
      <c r="J2" s="29"/>
      <c r="K2" s="29"/>
    </row>
    <row r="3" spans="1:11">
      <c r="D3" s="1">
        <v>2022</v>
      </c>
      <c r="E3" s="1">
        <v>2023</v>
      </c>
      <c r="F3" s="1">
        <v>2024</v>
      </c>
      <c r="G3" s="1">
        <v>2025</v>
      </c>
      <c r="H3" s="1">
        <v>2026</v>
      </c>
      <c r="I3" s="1">
        <v>2027</v>
      </c>
      <c r="J3" s="1">
        <v>2028</v>
      </c>
      <c r="K3">
        <v>2029</v>
      </c>
    </row>
    <row r="4" spans="1:11">
      <c r="B4" t="s">
        <v>3</v>
      </c>
      <c r="C4" s="20" t="s">
        <v>4</v>
      </c>
    </row>
    <row r="5" spans="1:11">
      <c r="C5" s="1"/>
    </row>
    <row r="6" spans="1:11">
      <c r="C6" s="1" t="s">
        <v>5</v>
      </c>
      <c r="D6" s="4">
        <v>427.79</v>
      </c>
      <c r="E6" s="4">
        <v>493.61</v>
      </c>
      <c r="F6" s="4">
        <v>516.01</v>
      </c>
      <c r="G6" s="4">
        <v>609.78</v>
      </c>
      <c r="H6" s="5">
        <f>G6*(1+H20)</f>
        <v>687.2142912719703</v>
      </c>
      <c r="I6" s="5">
        <f>H6*(1+H20)</f>
        <v>774.48175100599633</v>
      </c>
      <c r="J6" s="5">
        <f>I6*(1+I20)</f>
        <v>872.83106632008332</v>
      </c>
      <c r="K6" s="5">
        <f>J6*(1+J20)</f>
        <v>983.6694916876811</v>
      </c>
    </row>
    <row r="7" spans="1:11">
      <c r="C7" s="1" t="s">
        <v>6</v>
      </c>
      <c r="D7" s="9">
        <v>-326.33</v>
      </c>
      <c r="E7" s="9">
        <v>-313.54000000000002</v>
      </c>
      <c r="F7" s="9">
        <v>-317.98</v>
      </c>
      <c r="G7" s="9">
        <v>-388.26</v>
      </c>
      <c r="H7" s="11">
        <v>-455.4</v>
      </c>
      <c r="I7" s="11">
        <v>-511.15795566395752</v>
      </c>
      <c r="J7" s="11">
        <f>-(1-J21)*J6</f>
        <v>-576.06850377125488</v>
      </c>
      <c r="K7" s="11">
        <f>-(1-K21)*K6</f>
        <v>-649.22186451386949</v>
      </c>
    </row>
    <row r="8" spans="1:11">
      <c r="C8" s="1" t="s">
        <v>7</v>
      </c>
      <c r="D8" s="9">
        <v>-100.31</v>
      </c>
      <c r="E8" s="9">
        <v>-124.24</v>
      </c>
      <c r="F8" s="9">
        <v>-124.96</v>
      </c>
      <c r="G8" s="9">
        <v>-140.06</v>
      </c>
      <c r="H8" s="11">
        <f>-H6*H22</f>
        <v>-164.5940315403318</v>
      </c>
      <c r="I8" s="11">
        <f>-I6*I22</f>
        <v>-185.49537658267809</v>
      </c>
      <c r="J8" s="11">
        <f>-J6*J22</f>
        <v>-209.05092615778213</v>
      </c>
      <c r="K8" s="11">
        <f>-K6*K22</f>
        <v>-236.08067800504347</v>
      </c>
    </row>
    <row r="9" spans="1:11">
      <c r="C9" s="20" t="s">
        <v>8</v>
      </c>
      <c r="D9" s="7">
        <v>1.1499999999999999</v>
      </c>
      <c r="E9" s="7">
        <v>55.83</v>
      </c>
      <c r="F9" s="7">
        <v>73.069999999999993</v>
      </c>
      <c r="G9" s="7">
        <v>81.459999999999994</v>
      </c>
      <c r="H9" s="7">
        <v>67.2</v>
      </c>
      <c r="I9" s="7">
        <v>77.8</v>
      </c>
      <c r="J9" s="7">
        <v>87.6</v>
      </c>
      <c r="K9" s="7">
        <v>98.4</v>
      </c>
    </row>
    <row r="10" spans="1:11">
      <c r="C10" s="1"/>
      <c r="D10" s="5"/>
      <c r="E10" s="5"/>
      <c r="F10" s="5"/>
      <c r="G10" s="5"/>
      <c r="H10" s="6"/>
      <c r="I10" s="6"/>
      <c r="J10" s="6"/>
      <c r="K10" s="6"/>
    </row>
    <row r="11" spans="1:11">
      <c r="C11" s="1" t="s">
        <v>9</v>
      </c>
      <c r="D11" s="4">
        <v>0.05</v>
      </c>
      <c r="E11" s="4">
        <v>2.5499999999999998</v>
      </c>
      <c r="F11" s="4">
        <v>6.72</v>
      </c>
      <c r="G11" s="4">
        <v>6.55</v>
      </c>
      <c r="H11" s="24">
        <f>H30*G34</f>
        <v>7.8748000000000005</v>
      </c>
      <c r="I11" s="24">
        <f>I30*H34</f>
        <v>9.768653895572978</v>
      </c>
      <c r="J11" s="24">
        <f>J30*I34</f>
        <v>12.007187568990703</v>
      </c>
      <c r="K11" s="24">
        <f>K30*J34</f>
        <v>14.561979394339803</v>
      </c>
    </row>
    <row r="12" spans="1:11">
      <c r="C12" s="1" t="s">
        <v>10</v>
      </c>
      <c r="D12" s="9">
        <v>-31</v>
      </c>
      <c r="E12" s="9">
        <v>0</v>
      </c>
      <c r="F12" s="9">
        <v>0</v>
      </c>
      <c r="G12" s="9">
        <v>0</v>
      </c>
      <c r="H12" s="24">
        <v>0</v>
      </c>
      <c r="I12" s="24">
        <v>0</v>
      </c>
      <c r="J12" s="24">
        <v>0</v>
      </c>
      <c r="K12" s="24">
        <v>0</v>
      </c>
    </row>
    <row r="13" spans="1:11">
      <c r="C13" s="20" t="s">
        <v>11</v>
      </c>
      <c r="D13" s="8">
        <v>29.8</v>
      </c>
      <c r="E13" s="7">
        <f>E9+E11+E12</f>
        <v>58.379999999999995</v>
      </c>
      <c r="F13" s="7">
        <f>F9+F11+F12</f>
        <v>79.789999999999992</v>
      </c>
      <c r="G13" s="7">
        <f>G9+G11+G12</f>
        <v>88.009999999999991</v>
      </c>
      <c r="H13" s="7">
        <v>67.2</v>
      </c>
      <c r="I13" s="7">
        <v>77.8</v>
      </c>
      <c r="J13" s="7">
        <v>87.6</v>
      </c>
      <c r="K13" s="7">
        <v>98.4</v>
      </c>
    </row>
    <row r="14" spans="1:11">
      <c r="C14" s="20"/>
      <c r="D14" s="5"/>
      <c r="E14" s="5"/>
      <c r="F14" s="5"/>
      <c r="G14" s="5"/>
      <c r="H14" s="6"/>
      <c r="I14" s="6"/>
      <c r="J14" s="6"/>
      <c r="K14" s="6"/>
    </row>
    <row r="15" spans="1:11">
      <c r="C15" s="1" t="s">
        <v>12</v>
      </c>
      <c r="D15" s="9">
        <v>-3.03</v>
      </c>
      <c r="E15" s="9">
        <v>-11.29</v>
      </c>
      <c r="F15" s="9">
        <v>-14.84</v>
      </c>
      <c r="G15" s="9">
        <v>-21.65</v>
      </c>
      <c r="H15" s="11">
        <f>-H23*H13</f>
        <v>-12.214423055030037</v>
      </c>
      <c r="I15" s="11">
        <f>-I23*I13</f>
        <v>-14.141102882162752</v>
      </c>
      <c r="J15" s="11">
        <f>-J23*J13</f>
        <v>-15.922372911021299</v>
      </c>
      <c r="K15" s="11">
        <f>-K23*K13</f>
        <v>-17.885405187722554</v>
      </c>
    </row>
    <row r="16" spans="1:11">
      <c r="C16" s="20" t="s">
        <v>13</v>
      </c>
      <c r="D16" s="7">
        <v>7.81</v>
      </c>
      <c r="E16" s="7">
        <v>46.63</v>
      </c>
      <c r="F16" s="7">
        <v>55.95</v>
      </c>
      <c r="G16" s="7">
        <v>71.319999999999993</v>
      </c>
      <c r="H16" s="7">
        <f>H13+H15</f>
        <v>54.985576944969964</v>
      </c>
      <c r="I16" s="7">
        <f>I13+I15</f>
        <v>63.658897117837242</v>
      </c>
      <c r="J16" s="7">
        <f>J13+J15</f>
        <v>71.677627088978696</v>
      </c>
      <c r="K16" s="7">
        <f>K13+K15</f>
        <v>80.514594812277451</v>
      </c>
    </row>
    <row r="17" spans="2:11">
      <c r="C17" s="1"/>
      <c r="D17" s="1"/>
      <c r="E17" s="1"/>
      <c r="F17" s="1"/>
      <c r="G17" s="1"/>
    </row>
    <row r="18" spans="2:11">
      <c r="C18" s="1"/>
      <c r="D18" s="1"/>
      <c r="E18" s="1"/>
      <c r="F18" s="1"/>
      <c r="G18" s="1"/>
    </row>
    <row r="19" spans="2:11">
      <c r="C19" s="2" t="s">
        <v>14</v>
      </c>
      <c r="D19" s="1"/>
      <c r="E19" s="1"/>
      <c r="F19" s="1"/>
      <c r="G19" s="1"/>
    </row>
    <row r="20" spans="2:11">
      <c r="C20" s="1" t="s">
        <v>15</v>
      </c>
      <c r="D20" s="3"/>
      <c r="E20" s="3">
        <f>E6/D6-1</f>
        <v>0.15386053904953356</v>
      </c>
      <c r="F20" s="3">
        <f>F6/E6-1</f>
        <v>4.5379955835578745E-2</v>
      </c>
      <c r="G20" s="3">
        <f>G6/F6-1</f>
        <v>0.18172128447123104</v>
      </c>
      <c r="H20" s="3">
        <f>AVERAGE(E20:G20)</f>
        <v>0.12698725978544778</v>
      </c>
      <c r="I20" s="3">
        <f>AVERAGE(E20:H20)</f>
        <v>0.12698725978544778</v>
      </c>
      <c r="J20" s="3">
        <f>AVERAGE(E20:I20)</f>
        <v>0.12698725978544778</v>
      </c>
      <c r="K20" s="3">
        <v>0.127</v>
      </c>
    </row>
    <row r="21" spans="2:11">
      <c r="C21" s="1" t="s">
        <v>16</v>
      </c>
      <c r="D21" s="10">
        <f>1+D7/D6</f>
        <v>0.23717244442366592</v>
      </c>
      <c r="E21" s="10">
        <f>1+E7/E6</f>
        <v>0.36480217175502927</v>
      </c>
      <c r="F21" s="10">
        <f>1+F7/F6</f>
        <v>0.38377163233270672</v>
      </c>
      <c r="G21" s="10">
        <f>1+G7/G6</f>
        <v>0.36327855948046839</v>
      </c>
      <c r="H21" s="10">
        <f>AVERAGE(D21:G21)</f>
        <v>0.33725620199796758</v>
      </c>
      <c r="I21" s="10">
        <v>0.34</v>
      </c>
      <c r="J21" s="10">
        <v>0.34</v>
      </c>
      <c r="K21" s="10">
        <v>0.34</v>
      </c>
    </row>
    <row r="22" spans="2:11">
      <c r="C22" s="1" t="s">
        <v>17</v>
      </c>
      <c r="D22" s="10">
        <f>-D8/D6</f>
        <v>0.23448420954206503</v>
      </c>
      <c r="E22" s="10">
        <f>-E8/E6</f>
        <v>0.2516966836166204</v>
      </c>
      <c r="F22" s="10">
        <f>-F8/F6</f>
        <v>0.24216584949904071</v>
      </c>
      <c r="G22" s="10">
        <f>-G8/G6</f>
        <v>0.22968939617566994</v>
      </c>
      <c r="H22" s="10">
        <f>AVERAGE(D22:G22)</f>
        <v>0.23950903470834903</v>
      </c>
      <c r="I22" s="10">
        <f>AVERAGE(D22:H22)</f>
        <v>0.239509034708349</v>
      </c>
      <c r="J22" s="10">
        <f>AVERAGE(D22:I22)</f>
        <v>0.23950903470834903</v>
      </c>
      <c r="K22" s="10">
        <v>0.24</v>
      </c>
    </row>
    <row r="23" spans="2:11">
      <c r="C23" s="1" t="s">
        <v>18</v>
      </c>
      <c r="D23" s="10">
        <f>-D15/D13</f>
        <v>0.10167785234899328</v>
      </c>
      <c r="E23" s="10">
        <f>-E15/E13</f>
        <v>0.1933881466255567</v>
      </c>
      <c r="F23" s="10">
        <f>-F15/F13</f>
        <v>0.18598821907507207</v>
      </c>
      <c r="G23" s="10">
        <f>-G15/G13</f>
        <v>0.2459947733212135</v>
      </c>
      <c r="H23" s="10">
        <f>AVERAGE(D23:G23)</f>
        <v>0.18176224784270889</v>
      </c>
      <c r="I23" s="10">
        <f>AVERAGE(D23:H23)</f>
        <v>0.18176224784270889</v>
      </c>
      <c r="J23" s="10">
        <f>AVERAGE(D23:I23)</f>
        <v>0.18176224784270889</v>
      </c>
      <c r="K23" s="10">
        <f>AVERAGE(D23:J23)</f>
        <v>0.18176224784270886</v>
      </c>
    </row>
    <row r="24" spans="2:11">
      <c r="C24" s="14" t="s">
        <v>19</v>
      </c>
      <c r="H24" s="10">
        <f>H7/G7-1</f>
        <v>0.17292535929531749</v>
      </c>
      <c r="I24" s="10">
        <f>I7/H7-1</f>
        <v>0.12243732029854537</v>
      </c>
      <c r="J24" s="10">
        <f>J7/I7-1</f>
        <v>0.12698725978544778</v>
      </c>
      <c r="K24" s="10">
        <f>K7/J7-1</f>
        <v>0.12698725978544778</v>
      </c>
    </row>
    <row r="26" spans="2:11">
      <c r="C26" s="12" t="s">
        <v>20</v>
      </c>
      <c r="D26" s="9">
        <v>-4.5999999999999996</v>
      </c>
      <c r="E26" s="9">
        <v>-5.0999999999999996</v>
      </c>
      <c r="F26" s="9">
        <v>-5.7</v>
      </c>
      <c r="G26" s="9">
        <v>-6.5</v>
      </c>
      <c r="H26" s="11">
        <f>G26*(1+H20)</f>
        <v>-7.3254171886054102</v>
      </c>
      <c r="I26" s="11">
        <f>H26*(1+I20)</f>
        <v>-8.2556518441716307</v>
      </c>
      <c r="J26" s="11">
        <f>I26*(1+J20)</f>
        <v>-9.3040144496056651</v>
      </c>
      <c r="K26" s="11">
        <v>-10.3</v>
      </c>
    </row>
    <row r="27" spans="2:11">
      <c r="C27" s="13" t="s">
        <v>21</v>
      </c>
      <c r="D27" s="9">
        <v>-0.6</v>
      </c>
      <c r="E27" s="9">
        <v>-0.97</v>
      </c>
      <c r="F27" s="9">
        <v>-0.97</v>
      </c>
      <c r="G27" s="9">
        <v>-8.15</v>
      </c>
      <c r="H27" s="11">
        <f>G27*(1+H20)</f>
        <v>-9.1849461672514003</v>
      </c>
      <c r="I27" s="11">
        <f>H27*(1+I20)</f>
        <v>-10.351317312307506</v>
      </c>
      <c r="J27" s="11">
        <f>I27*(1+J20)</f>
        <v>-11.665802732967101</v>
      </c>
      <c r="K27" s="11">
        <f>J27*(1+K20)</f>
        <v>-13.147359680053924</v>
      </c>
    </row>
    <row r="28" spans="2:11">
      <c r="C28" s="13" t="s">
        <v>22</v>
      </c>
      <c r="D28" s="9">
        <v>-2.06</v>
      </c>
      <c r="E28" s="9">
        <v>-1.08</v>
      </c>
      <c r="F28" s="9">
        <v>-1.07</v>
      </c>
      <c r="G28" s="9">
        <v>-1.07</v>
      </c>
      <c r="H28" s="11">
        <f>G28*(1+H20)</f>
        <v>-1.2058763679704292</v>
      </c>
      <c r="I28" s="11">
        <f>H28*(1+I20)</f>
        <v>-1.3590073035790222</v>
      </c>
      <c r="J28" s="11">
        <f>I28*(1+J20)</f>
        <v>-1.5315839170889325</v>
      </c>
      <c r="K28" s="11">
        <f>J28*(1+K20)</f>
        <v>-1.7260950745592269</v>
      </c>
    </row>
    <row r="29" spans="2:11">
      <c r="C29" s="13" t="s">
        <v>23</v>
      </c>
      <c r="D29" s="9">
        <v>-1.22</v>
      </c>
      <c r="E29" s="9">
        <v>0</v>
      </c>
      <c r="F29" s="9">
        <v>0</v>
      </c>
      <c r="G29" s="9">
        <v>0</v>
      </c>
      <c r="H29" s="11">
        <f>G29*(1+H20)</f>
        <v>0</v>
      </c>
      <c r="I29" s="11">
        <v>0</v>
      </c>
      <c r="J29" s="11">
        <v>0</v>
      </c>
      <c r="K29" s="11">
        <v>0</v>
      </c>
    </row>
    <row r="30" spans="2:11" s="26" customFormat="1">
      <c r="C30" s="26" t="s">
        <v>24</v>
      </c>
      <c r="H30" s="28">
        <v>0.04</v>
      </c>
      <c r="I30" s="28">
        <v>0.04</v>
      </c>
      <c r="J30" s="28">
        <v>0.04</v>
      </c>
      <c r="K30" s="28">
        <v>0.04</v>
      </c>
    </row>
    <row r="31" spans="2:11" s="27" customFormat="1">
      <c r="C31" s="26" t="s">
        <v>25</v>
      </c>
      <c r="D31" s="26"/>
      <c r="E31" s="26"/>
      <c r="F31" s="26"/>
      <c r="G31" s="26"/>
      <c r="H31" s="28">
        <v>0</v>
      </c>
      <c r="I31" s="28">
        <v>0</v>
      </c>
      <c r="J31" s="28">
        <v>0</v>
      </c>
      <c r="K31" s="28">
        <v>0</v>
      </c>
    </row>
    <row r="32" spans="2:11">
      <c r="B32" t="s">
        <v>3</v>
      </c>
      <c r="C32" s="20" t="s">
        <v>26</v>
      </c>
    </row>
    <row r="34" spans="3:11">
      <c r="C34" s="1" t="s">
        <v>27</v>
      </c>
      <c r="D34" s="4">
        <v>19.63</v>
      </c>
      <c r="E34" s="4">
        <v>132.54</v>
      </c>
      <c r="F34" s="4">
        <v>164.67</v>
      </c>
      <c r="G34" s="4">
        <v>196.87</v>
      </c>
      <c r="H34" s="24">
        <f>G34+H105</f>
        <v>244.21634738932443</v>
      </c>
      <c r="I34" s="24">
        <f>H34+I105</f>
        <v>300.17968922476757</v>
      </c>
      <c r="J34" s="24">
        <f>I34+J105</f>
        <v>364.04948485849508</v>
      </c>
      <c r="K34" s="24">
        <f>J34+K105</f>
        <v>436.4282202530004</v>
      </c>
    </row>
    <row r="35" spans="3:11">
      <c r="C35" s="1" t="s">
        <v>28</v>
      </c>
      <c r="D35" s="4">
        <v>52.84</v>
      </c>
      <c r="E35" s="4">
        <v>52.13</v>
      </c>
      <c r="F35" s="4">
        <v>63.45</v>
      </c>
      <c r="G35" s="4">
        <v>81.510000000000005</v>
      </c>
      <c r="H35" s="5">
        <f>G35*(1+G20)</f>
        <v>96.32210189725005</v>
      </c>
      <c r="I35" s="5">
        <f>H35*(1+H20)</f>
        <v>108.55378167395652</v>
      </c>
      <c r="J35" s="5">
        <f>I35*(1+I20)</f>
        <v>122.33872894808002</v>
      </c>
      <c r="K35" s="5">
        <f>J35*(1+K20)</f>
        <v>137.87574752448617</v>
      </c>
    </row>
    <row r="36" spans="3:11">
      <c r="C36" s="1" t="s">
        <v>29</v>
      </c>
      <c r="D36" s="4">
        <v>64.2</v>
      </c>
      <c r="E36" s="4">
        <v>50.76</v>
      </c>
      <c r="F36" s="4">
        <v>83.6</v>
      </c>
      <c r="G36" s="4">
        <v>111.47</v>
      </c>
      <c r="H36" s="5">
        <f>G36*(1+H24)</f>
        <v>130.74598980064903</v>
      </c>
      <c r="I36" s="5">
        <f>H36*(1+I24)</f>
        <v>146.75417843162143</v>
      </c>
      <c r="J36" s="5">
        <f>I36*(1+J24)</f>
        <v>165.39008941271769</v>
      </c>
      <c r="K36" s="5">
        <f>J36*(1+K24)</f>
        <v>186.3925236629089</v>
      </c>
    </row>
    <row r="37" spans="3:11">
      <c r="C37" s="1" t="s">
        <v>30</v>
      </c>
      <c r="D37" s="4">
        <v>38.299999999999997</v>
      </c>
      <c r="E37" s="4">
        <v>27.5</v>
      </c>
      <c r="F37" s="4">
        <v>29.5</v>
      </c>
      <c r="G37" s="4">
        <v>31.5</v>
      </c>
      <c r="H37" s="5">
        <f>G37*(1+H20)</f>
        <v>35.500098683241603</v>
      </c>
      <c r="I37" s="5">
        <f>H37*(1+I20)</f>
        <v>40.008158937139434</v>
      </c>
      <c r="J37" s="5">
        <f>I37*(1+J20)</f>
        <v>45.088685409627445</v>
      </c>
      <c r="K37" s="5">
        <f>J37*(1+K20)</f>
        <v>50.814948456650129</v>
      </c>
    </row>
    <row r="38" spans="3:11">
      <c r="C38" s="20" t="s">
        <v>31</v>
      </c>
      <c r="D38" s="7">
        <v>174.92</v>
      </c>
      <c r="E38" s="7">
        <v>262.94</v>
      </c>
      <c r="F38" s="7">
        <v>341.29</v>
      </c>
      <c r="G38" s="7">
        <v>421.44</v>
      </c>
      <c r="H38" s="20">
        <v>506.7</v>
      </c>
      <c r="I38" s="20">
        <v>595.6</v>
      </c>
      <c r="J38" s="20">
        <v>696.8</v>
      </c>
      <c r="K38" s="20">
        <v>811.5</v>
      </c>
    </row>
    <row r="39" spans="3:11">
      <c r="D39" s="6"/>
      <c r="E39" s="6"/>
      <c r="F39" s="6"/>
      <c r="G39" s="6"/>
    </row>
    <row r="40" spans="3:11">
      <c r="C40" s="1" t="s">
        <v>32</v>
      </c>
      <c r="D40" s="4">
        <v>9.2799999999999994</v>
      </c>
      <c r="E40" s="4">
        <v>9.3000000000000007</v>
      </c>
      <c r="F40" s="4">
        <v>2.35</v>
      </c>
      <c r="G40" s="4">
        <v>7.21</v>
      </c>
      <c r="H40" s="11">
        <f>G40-H27+H26</f>
        <v>9.0695289786459909</v>
      </c>
      <c r="I40" s="11">
        <f>H40-I27+I26</f>
        <v>11.165194446781868</v>
      </c>
      <c r="J40" s="11">
        <f>I40-J27+J26</f>
        <v>13.526982730143304</v>
      </c>
      <c r="K40" s="11">
        <f>J40-K27+K26</f>
        <v>16.374342410197226</v>
      </c>
    </row>
    <row r="41" spans="3:11">
      <c r="C41" s="1" t="s">
        <v>33</v>
      </c>
      <c r="D41" s="4">
        <v>7.79</v>
      </c>
      <c r="E41" s="4">
        <v>7.8</v>
      </c>
      <c r="F41" s="4">
        <v>7.8</v>
      </c>
      <c r="G41" s="4">
        <v>7.8</v>
      </c>
      <c r="H41" s="11">
        <f>G41-H27+H26</f>
        <v>9.6595289786459908</v>
      </c>
      <c r="I41" s="11">
        <f>H41-I27+I26</f>
        <v>11.755194446781864</v>
      </c>
      <c r="J41" s="11">
        <f>I41-J27+J26</f>
        <v>14.116982730143301</v>
      </c>
      <c r="K41" s="11">
        <f>J41-K27+K26</f>
        <v>16.964342410197222</v>
      </c>
    </row>
    <row r="42" spans="3:11">
      <c r="C42" s="20" t="s">
        <v>34</v>
      </c>
      <c r="D42" s="7">
        <v>22.84</v>
      </c>
      <c r="E42" s="7">
        <v>22.74</v>
      </c>
      <c r="F42" s="7">
        <v>20.94</v>
      </c>
      <c r="G42" s="7">
        <v>39.72</v>
      </c>
      <c r="H42" s="16">
        <v>20.8</v>
      </c>
      <c r="I42" s="16">
        <v>25</v>
      </c>
      <c r="J42" s="16">
        <v>29.6</v>
      </c>
      <c r="K42" s="16">
        <v>35.4</v>
      </c>
    </row>
    <row r="43" spans="3:11">
      <c r="D43" s="6"/>
      <c r="E43" s="6"/>
      <c r="F43" s="6"/>
      <c r="G43" s="6"/>
      <c r="H43" s="15"/>
      <c r="I43" s="15"/>
      <c r="J43" s="15"/>
      <c r="K43" s="15"/>
    </row>
    <row r="44" spans="3:11" s="16" customFormat="1">
      <c r="C44" s="16" t="s">
        <v>35</v>
      </c>
      <c r="D44" s="16">
        <v>197.76</v>
      </c>
      <c r="E44" s="16">
        <v>285.68</v>
      </c>
      <c r="F44" s="16">
        <v>362.38</v>
      </c>
      <c r="G44" s="16">
        <v>461.16</v>
      </c>
      <c r="H44" s="16">
        <v>527.5</v>
      </c>
      <c r="I44" s="16">
        <v>623.6</v>
      </c>
      <c r="J44" s="16">
        <v>726.4</v>
      </c>
      <c r="K44" s="16">
        <v>846.9</v>
      </c>
    </row>
    <row r="46" spans="3:11">
      <c r="C46" s="1" t="s">
        <v>36</v>
      </c>
      <c r="D46" s="4">
        <v>17.5</v>
      </c>
      <c r="E46" s="4">
        <v>23.1</v>
      </c>
      <c r="F46" s="4">
        <v>32</v>
      </c>
      <c r="G46" s="4">
        <v>31.8</v>
      </c>
      <c r="H46" s="5">
        <f>G46*(1+H20)</f>
        <v>35.838194861177243</v>
      </c>
      <c r="I46" s="5">
        <f>H46*(1+I20)</f>
        <v>40.38918902225506</v>
      </c>
      <c r="J46" s="5">
        <f>I46*(1+J20)</f>
        <v>45.518101461147722</v>
      </c>
      <c r="K46" s="5">
        <f>J46*(1+K20)</f>
        <v>51.298900346713481</v>
      </c>
    </row>
    <row r="47" spans="3:11">
      <c r="C47" s="1" t="s">
        <v>37</v>
      </c>
      <c r="D47" s="4">
        <v>1.6</v>
      </c>
      <c r="E47" s="4">
        <v>9.5</v>
      </c>
      <c r="F47" s="4">
        <v>11</v>
      </c>
      <c r="G47" s="4">
        <v>22.8</v>
      </c>
      <c r="H47" s="5">
        <f>G47*(1+H20)</f>
        <v>25.695309523108211</v>
      </c>
      <c r="I47" s="5">
        <f>H47*(1+I20)</f>
        <v>28.958286468786643</v>
      </c>
      <c r="J47" s="5">
        <f>I47*(1+J20)</f>
        <v>32.63561991553987</v>
      </c>
      <c r="K47" s="5">
        <f>J47*(1+K20)</f>
        <v>36.780343644813435</v>
      </c>
    </row>
    <row r="48" spans="3:11">
      <c r="C48" s="1" t="s">
        <v>38</v>
      </c>
      <c r="D48" s="4">
        <v>35.231999999999999</v>
      </c>
      <c r="E48" s="4">
        <v>50.017000000000003</v>
      </c>
      <c r="F48" s="4">
        <v>60.274999999999999</v>
      </c>
      <c r="G48" s="4">
        <v>61.783999999999999</v>
      </c>
      <c r="H48" s="5">
        <f>G48*(1+H20)</f>
        <v>69.629780858584098</v>
      </c>
      <c r="I48" s="5">
        <f>H48*(1+I20)</f>
        <v>78.471875929276919</v>
      </c>
      <c r="J48" s="5">
        <f>I48*(1+J20)</f>
        <v>88.43680442375944</v>
      </c>
      <c r="K48" s="5">
        <f>J48*(1+K20)</f>
        <v>99.668278585576886</v>
      </c>
    </row>
    <row r="49" spans="3:11">
      <c r="C49" s="20" t="s">
        <v>39</v>
      </c>
      <c r="D49" s="7">
        <v>54.345999999999997</v>
      </c>
      <c r="E49" s="7">
        <v>82.584999999999994</v>
      </c>
      <c r="F49" s="7">
        <v>103.26600000000001</v>
      </c>
      <c r="G49" s="7">
        <v>116.432</v>
      </c>
      <c r="H49" s="7">
        <v>293.8</v>
      </c>
      <c r="I49" s="7">
        <v>315</v>
      </c>
      <c r="J49" s="7">
        <v>355.5</v>
      </c>
      <c r="K49" s="7">
        <v>400.1</v>
      </c>
    </row>
    <row r="51" spans="3:11">
      <c r="C51" s="1" t="s">
        <v>40</v>
      </c>
      <c r="D51" s="4">
        <v>0</v>
      </c>
      <c r="E51" s="4">
        <v>0</v>
      </c>
      <c r="F51" s="4">
        <v>0</v>
      </c>
      <c r="G51" s="4">
        <v>0</v>
      </c>
      <c r="H51" s="5">
        <v>244.2</v>
      </c>
      <c r="I51" s="5">
        <v>300.2</v>
      </c>
      <c r="J51" s="5">
        <v>364</v>
      </c>
      <c r="K51" s="5">
        <v>436.4</v>
      </c>
    </row>
    <row r="52" spans="3:11">
      <c r="C52" s="1" t="s">
        <v>41</v>
      </c>
      <c r="D52" s="4">
        <v>2.08</v>
      </c>
      <c r="E52" s="4">
        <v>0.45</v>
      </c>
      <c r="F52" s="4">
        <v>3.0000000000000001E-3</v>
      </c>
      <c r="G52" s="4">
        <v>13.09</v>
      </c>
      <c r="H52" s="5">
        <v>0</v>
      </c>
      <c r="I52" s="5">
        <v>0</v>
      </c>
      <c r="J52" s="5">
        <v>0</v>
      </c>
      <c r="K52" s="5">
        <v>0</v>
      </c>
    </row>
    <row r="53" spans="3:11">
      <c r="C53" s="1" t="s">
        <v>42</v>
      </c>
      <c r="D53" s="4">
        <v>0.24099999999999999</v>
      </c>
      <c r="E53" s="4">
        <v>0.20899999999999999</v>
      </c>
      <c r="F53" s="4">
        <v>0.29499999999999998</v>
      </c>
      <c r="G53" s="4">
        <v>9.7000000000000003E-2</v>
      </c>
      <c r="H53" s="5">
        <v>0.1</v>
      </c>
      <c r="I53" s="5">
        <v>0.1</v>
      </c>
      <c r="J53" s="5">
        <v>0.1</v>
      </c>
      <c r="K53" s="5">
        <v>0.1</v>
      </c>
    </row>
    <row r="54" spans="3:11">
      <c r="C54" s="20" t="s">
        <v>43</v>
      </c>
      <c r="D54" s="7">
        <v>56.66</v>
      </c>
      <c r="E54" s="7">
        <v>83.25</v>
      </c>
      <c r="F54" s="7">
        <v>103.56</v>
      </c>
      <c r="G54" s="7">
        <v>129.62</v>
      </c>
      <c r="H54" s="7">
        <v>293.89999999999998</v>
      </c>
      <c r="I54" s="7">
        <v>315.10000000000002</v>
      </c>
      <c r="J54" s="7">
        <v>355.6</v>
      </c>
      <c r="K54" s="7">
        <v>400.2</v>
      </c>
    </row>
    <row r="56" spans="3:11">
      <c r="C56" s="1" t="s">
        <v>44</v>
      </c>
      <c r="D56" s="5">
        <v>90.03</v>
      </c>
      <c r="E56" s="5">
        <v>100.07</v>
      </c>
      <c r="F56" s="5">
        <v>111.41</v>
      </c>
      <c r="G56" s="5">
        <v>118.65600000000001</v>
      </c>
      <c r="H56" s="19">
        <v>121.7</v>
      </c>
      <c r="I56" s="19">
        <v>124.7</v>
      </c>
      <c r="J56" s="19">
        <v>127.7</v>
      </c>
      <c r="K56" s="19">
        <v>130.69999999999999</v>
      </c>
    </row>
    <row r="57" spans="3:11">
      <c r="C57" s="1" t="s">
        <v>45</v>
      </c>
      <c r="D57" s="11">
        <v>-58.93</v>
      </c>
      <c r="E57" s="11">
        <v>-59.7</v>
      </c>
      <c r="F57" s="11">
        <v>-71.73</v>
      </c>
      <c r="G57" s="11">
        <v>-83</v>
      </c>
      <c r="H57" s="21">
        <v>-93</v>
      </c>
      <c r="I57" s="21">
        <v>-103</v>
      </c>
      <c r="J57" s="21">
        <v>-113</v>
      </c>
      <c r="K57" s="21">
        <v>-133</v>
      </c>
    </row>
    <row r="58" spans="3:11">
      <c r="C58" s="1" t="s">
        <v>46</v>
      </c>
      <c r="D58" s="5">
        <v>0.14099999999999999</v>
      </c>
      <c r="E58" s="5">
        <v>0.20200000000000001</v>
      </c>
      <c r="F58" s="5">
        <v>0.25800000000000001</v>
      </c>
      <c r="G58" s="5">
        <v>0.33100000000000002</v>
      </c>
      <c r="H58" s="5">
        <v>0.33100000000000002</v>
      </c>
      <c r="I58" s="5">
        <v>0.33100000000000002</v>
      </c>
      <c r="J58" s="5">
        <v>0.33100000000000002</v>
      </c>
      <c r="K58" s="5">
        <v>0.33100000000000002</v>
      </c>
    </row>
    <row r="59" spans="3:11">
      <c r="C59" s="1" t="s">
        <v>47</v>
      </c>
      <c r="D59" s="5">
        <v>55.18</v>
      </c>
      <c r="E59" s="5">
        <v>100.74</v>
      </c>
      <c r="F59" s="5">
        <v>156.69</v>
      </c>
      <c r="G59" s="5">
        <v>228.01</v>
      </c>
      <c r="H59" s="19">
        <v>283</v>
      </c>
      <c r="I59" s="19">
        <v>346.7</v>
      </c>
      <c r="J59" s="19">
        <v>418.4</v>
      </c>
      <c r="K59" s="19">
        <v>498.9</v>
      </c>
    </row>
    <row r="60" spans="3:11">
      <c r="C60" s="7" t="s">
        <v>48</v>
      </c>
      <c r="D60" s="7">
        <v>141.09299999999999</v>
      </c>
      <c r="E60" s="7">
        <v>202.43700000000001</v>
      </c>
      <c r="F60" s="7">
        <v>258.81700000000001</v>
      </c>
      <c r="G60" s="7">
        <v>331.54199999999997</v>
      </c>
      <c r="H60" s="7">
        <v>233.6</v>
      </c>
      <c r="I60" s="7">
        <v>308.5</v>
      </c>
      <c r="J60" s="7">
        <v>370.8</v>
      </c>
      <c r="K60" s="7">
        <v>446.7</v>
      </c>
    </row>
    <row r="62" spans="3:11" s="1" customFormat="1">
      <c r="C62" s="20" t="s">
        <v>49</v>
      </c>
      <c r="D62" s="7">
        <v>197.8</v>
      </c>
      <c r="E62" s="7">
        <v>285.7</v>
      </c>
      <c r="F62" s="7">
        <v>362.4</v>
      </c>
      <c r="G62" s="7">
        <v>461.2</v>
      </c>
      <c r="H62" s="20">
        <v>527.5</v>
      </c>
      <c r="I62" s="20">
        <v>623.6</v>
      </c>
      <c r="J62" s="20">
        <v>726.4</v>
      </c>
      <c r="K62" s="20">
        <v>846.9</v>
      </c>
    </row>
    <row r="63" spans="3:11" s="11" customFormat="1">
      <c r="C63" s="11" t="s">
        <v>35</v>
      </c>
      <c r="D63" s="11">
        <v>197.8</v>
      </c>
      <c r="E63" s="11">
        <v>285.7</v>
      </c>
      <c r="F63" s="11">
        <v>362.4</v>
      </c>
      <c r="G63" s="11">
        <v>461.2</v>
      </c>
      <c r="H63" s="11">
        <v>527.5</v>
      </c>
      <c r="I63" s="11">
        <v>623.6</v>
      </c>
      <c r="J63" s="11">
        <v>726.4</v>
      </c>
      <c r="K63" s="11">
        <v>846.9</v>
      </c>
    </row>
    <row r="64" spans="3:11" s="11" customFormat="1">
      <c r="C64" s="11" t="s">
        <v>50</v>
      </c>
      <c r="D64" s="11">
        <f>D44-D62</f>
        <v>-4.0000000000020464E-2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</row>
    <row r="65" spans="2:11">
      <c r="C65" s="1"/>
    </row>
    <row r="66" spans="2:11">
      <c r="B66" t="s">
        <v>3</v>
      </c>
      <c r="C66" s="20" t="s">
        <v>51</v>
      </c>
    </row>
    <row r="67" spans="2:11">
      <c r="C67" s="1" t="s">
        <v>52</v>
      </c>
      <c r="H67" s="5">
        <v>118.7</v>
      </c>
      <c r="I67" s="5">
        <f>H69</f>
        <v>121.7</v>
      </c>
      <c r="J67" s="5">
        <v>124.7</v>
      </c>
      <c r="K67" s="5">
        <v>127.7</v>
      </c>
    </row>
    <row r="68" spans="2:11">
      <c r="C68" t="s">
        <v>53</v>
      </c>
      <c r="H68" s="4">
        <v>3</v>
      </c>
      <c r="I68" s="4">
        <v>3</v>
      </c>
      <c r="J68" s="4">
        <v>3</v>
      </c>
      <c r="K68" s="4">
        <v>3</v>
      </c>
    </row>
    <row r="69" spans="2:11" s="18" customFormat="1">
      <c r="C69" s="18" t="s">
        <v>54</v>
      </c>
      <c r="H69" s="7">
        <v>121.7</v>
      </c>
      <c r="I69" s="7">
        <v>124.7</v>
      </c>
      <c r="J69" s="7">
        <v>127.7</v>
      </c>
      <c r="K69" s="7">
        <v>130.69999999999999</v>
      </c>
    </row>
    <row r="71" spans="2:11">
      <c r="C71" s="1" t="s">
        <v>55</v>
      </c>
      <c r="H71" s="11">
        <f>G57</f>
        <v>-83</v>
      </c>
      <c r="I71" s="11">
        <v>-93</v>
      </c>
      <c r="J71" s="11">
        <v>-103</v>
      </c>
      <c r="K71" s="11">
        <v>-123</v>
      </c>
    </row>
    <row r="72" spans="2:11">
      <c r="C72" s="1" t="s">
        <v>56</v>
      </c>
      <c r="H72" s="9">
        <v>-10</v>
      </c>
      <c r="I72" s="9">
        <v>-10</v>
      </c>
      <c r="J72" s="9">
        <v>-10</v>
      </c>
      <c r="K72" s="9">
        <v>-10</v>
      </c>
    </row>
    <row r="73" spans="2:11">
      <c r="C73" s="7" t="s">
        <v>57</v>
      </c>
      <c r="D73" s="5"/>
      <c r="E73" s="5"/>
      <c r="F73" s="5"/>
      <c r="G73" s="5"/>
      <c r="H73" s="7">
        <v>-93</v>
      </c>
      <c r="I73" s="7">
        <v>-103</v>
      </c>
      <c r="J73" s="7">
        <v>-113</v>
      </c>
      <c r="K73" s="7">
        <v>-133</v>
      </c>
    </row>
    <row r="74" spans="2:11">
      <c r="C74" s="5"/>
      <c r="D74" s="5"/>
      <c r="E74" s="5"/>
      <c r="F74" s="5"/>
      <c r="G74" s="5"/>
      <c r="H74" s="5"/>
      <c r="I74" s="5"/>
      <c r="J74" s="5"/>
      <c r="K74" s="5"/>
    </row>
    <row r="75" spans="2:11">
      <c r="C75" s="5" t="s">
        <v>58</v>
      </c>
      <c r="D75" s="5"/>
      <c r="E75" s="5"/>
      <c r="F75" s="5"/>
      <c r="G75" s="5"/>
      <c r="H75" s="5">
        <f>G59</f>
        <v>228.01</v>
      </c>
      <c r="I75" s="5">
        <v>283</v>
      </c>
      <c r="J75" s="5">
        <v>346.7</v>
      </c>
      <c r="K75" s="5">
        <v>418.4</v>
      </c>
    </row>
    <row r="76" spans="2:11">
      <c r="C76" s="5" t="s">
        <v>13</v>
      </c>
      <c r="D76" s="5"/>
      <c r="E76" s="5"/>
      <c r="F76" s="5"/>
      <c r="G76" s="5"/>
      <c r="H76" s="5">
        <f>H16</f>
        <v>54.985576944969964</v>
      </c>
      <c r="I76" s="19">
        <v>63.7</v>
      </c>
      <c r="J76" s="19">
        <v>71.7</v>
      </c>
      <c r="K76" s="19">
        <v>80.5</v>
      </c>
    </row>
    <row r="77" spans="2:11">
      <c r="C77" s="1" t="s">
        <v>59</v>
      </c>
      <c r="H77" s="9">
        <v>0</v>
      </c>
      <c r="I77" s="9">
        <v>0</v>
      </c>
      <c r="J77" s="9">
        <v>0</v>
      </c>
      <c r="K77" s="9">
        <v>0</v>
      </c>
    </row>
    <row r="78" spans="2:11">
      <c r="C78" s="7" t="s">
        <v>60</v>
      </c>
      <c r="H78" s="7">
        <v>283</v>
      </c>
      <c r="I78" s="7">
        <v>346.7</v>
      </c>
      <c r="J78" s="7">
        <v>418.4</v>
      </c>
      <c r="K78" s="7">
        <v>498.9</v>
      </c>
    </row>
    <row r="80" spans="2:11">
      <c r="B80" t="s">
        <v>3</v>
      </c>
      <c r="C80" s="20" t="s">
        <v>61</v>
      </c>
    </row>
    <row r="82" spans="3:13">
      <c r="C82" s="22" t="s">
        <v>62</v>
      </c>
      <c r="H82" s="19">
        <v>55</v>
      </c>
      <c r="I82" s="19">
        <v>63.7</v>
      </c>
      <c r="J82" s="19">
        <v>71.7</v>
      </c>
      <c r="K82" s="19">
        <v>80.5</v>
      </c>
      <c r="M82" s="1" t="s">
        <v>13</v>
      </c>
    </row>
    <row r="83" spans="3:13">
      <c r="C83" s="1" t="s">
        <v>63</v>
      </c>
      <c r="H83" s="11">
        <f>-(H26+H28)</f>
        <v>8.5312935565758394</v>
      </c>
      <c r="I83" s="11">
        <f>-(I26+I28)</f>
        <v>9.6146591477506522</v>
      </c>
      <c r="J83" s="11">
        <f>-(J26+J28)</f>
        <v>10.835598366694597</v>
      </c>
      <c r="K83" s="11">
        <f>-(K26+K28)</f>
        <v>12.026095074559228</v>
      </c>
      <c r="M83" s="1" t="s">
        <v>64</v>
      </c>
    </row>
    <row r="84" spans="3:13">
      <c r="C84" s="1" t="s">
        <v>28</v>
      </c>
      <c r="H84" s="11">
        <f>G35-H35</f>
        <v>-14.812101897250045</v>
      </c>
      <c r="I84" s="11">
        <f>H35-I35</f>
        <v>-12.231679776706471</v>
      </c>
      <c r="J84" s="11">
        <f>I35-J35</f>
        <v>-13.784947274123496</v>
      </c>
      <c r="K84" s="11">
        <f>J35-K35</f>
        <v>-15.537018576406155</v>
      </c>
      <c r="M84" s="1" t="s">
        <v>65</v>
      </c>
    </row>
    <row r="85" spans="3:13">
      <c r="C85" s="1" t="s">
        <v>29</v>
      </c>
      <c r="H85" s="11">
        <f>G36-H36</f>
        <v>-19.275989800649029</v>
      </c>
      <c r="I85" s="11">
        <f>H36-I36</f>
        <v>-16.008188630972398</v>
      </c>
      <c r="J85" s="11">
        <f>I36-J36</f>
        <v>-18.635910981096259</v>
      </c>
      <c r="K85" s="11">
        <f>J36-K36</f>
        <v>-21.002434250191214</v>
      </c>
    </row>
    <row r="86" spans="3:13">
      <c r="C86" s="1" t="s">
        <v>30</v>
      </c>
      <c r="H86" s="23">
        <f>G37-H37</f>
        <v>-4.0000986832416032</v>
      </c>
      <c r="I86" s="23">
        <f>H37-I37</f>
        <v>-4.5080602538978312</v>
      </c>
      <c r="J86" s="23">
        <f>I37-J37</f>
        <v>-5.0805264724880104</v>
      </c>
      <c r="K86" s="23">
        <f>J37-K37</f>
        <v>-5.7262630470226838</v>
      </c>
    </row>
    <row r="87" spans="3:13">
      <c r="C87" s="1" t="s">
        <v>36</v>
      </c>
      <c r="H87" s="5">
        <f>H46-G46</f>
        <v>4.0381948611772422</v>
      </c>
      <c r="I87" s="5">
        <f>I46-H46</f>
        <v>4.5509941610778171</v>
      </c>
      <c r="J87" s="5">
        <f>J46-I46</f>
        <v>5.1289124388926624</v>
      </c>
      <c r="K87" s="5">
        <f>K46-J46</f>
        <v>5.7807988855657584</v>
      </c>
    </row>
    <row r="88" spans="3:13">
      <c r="C88" s="1" t="s">
        <v>37</v>
      </c>
      <c r="H88" s="5">
        <f>H47-G47</f>
        <v>2.8953095231082102</v>
      </c>
      <c r="I88" s="5">
        <f>I47-H47</f>
        <v>3.2629769456784317</v>
      </c>
      <c r="J88" s="5">
        <f>J47-I47</f>
        <v>3.6773334467532273</v>
      </c>
      <c r="K88" s="5">
        <f>K47-J47</f>
        <v>4.144723729273565</v>
      </c>
    </row>
    <row r="89" spans="3:13">
      <c r="C89" s="1" t="s">
        <v>38</v>
      </c>
      <c r="H89" s="5">
        <f>H48-G48</f>
        <v>7.8457808585840993</v>
      </c>
      <c r="I89" s="5">
        <f>I48-H48</f>
        <v>8.842095070692821</v>
      </c>
      <c r="J89" s="5">
        <f>J48-I48</f>
        <v>9.9649284944825212</v>
      </c>
      <c r="K89" s="5">
        <f>K48-J48</f>
        <v>11.231474161817445</v>
      </c>
    </row>
    <row r="90" spans="3:13" s="17" customFormat="1">
      <c r="C90" s="20" t="s">
        <v>66</v>
      </c>
      <c r="D90" s="20"/>
      <c r="E90" s="20"/>
      <c r="F90" s="20"/>
      <c r="G90" s="20"/>
      <c r="H90" s="7">
        <f>SUM(H82:H83)</f>
        <v>63.531293556575839</v>
      </c>
      <c r="I90" s="7">
        <f>SUM(I82:I83)</f>
        <v>73.31465914775066</v>
      </c>
      <c r="J90" s="7">
        <f>SUM(J82:J83)</f>
        <v>82.5355983666946</v>
      </c>
      <c r="K90" s="7">
        <f>SUM(K82:K83)</f>
        <v>92.526095074559223</v>
      </c>
      <c r="L90" s="20"/>
      <c r="M90" s="20"/>
    </row>
    <row r="92" spans="3:13" s="1" customFormat="1">
      <c r="C92" s="1" t="s">
        <v>67</v>
      </c>
      <c r="H92" s="11">
        <f>H27</f>
        <v>-9.1849461672514003</v>
      </c>
      <c r="I92" s="11">
        <f>I27</f>
        <v>-10.351317312307506</v>
      </c>
      <c r="J92" s="11">
        <f>J27</f>
        <v>-11.665802732967101</v>
      </c>
      <c r="K92" s="11">
        <f>K27</f>
        <v>-13.147359680053924</v>
      </c>
    </row>
    <row r="93" spans="3:13" s="1" customFormat="1">
      <c r="C93" s="1" t="s">
        <v>68</v>
      </c>
      <c r="H93" s="11">
        <f>H29</f>
        <v>0</v>
      </c>
      <c r="I93" s="11">
        <f>I29</f>
        <v>0</v>
      </c>
      <c r="J93" s="11">
        <f>J29</f>
        <v>0</v>
      </c>
      <c r="K93" s="11">
        <f>K29</f>
        <v>0</v>
      </c>
    </row>
    <row r="94" spans="3:13" s="18" customFormat="1">
      <c r="C94" s="20" t="s">
        <v>69</v>
      </c>
      <c r="H94" s="16">
        <f>H92</f>
        <v>-9.1849461672514003</v>
      </c>
      <c r="I94" s="16">
        <f>I92</f>
        <v>-10.351317312307506</v>
      </c>
      <c r="J94" s="16">
        <f>J92</f>
        <v>-11.665802732967101</v>
      </c>
      <c r="K94" s="16">
        <f>K92</f>
        <v>-13.147359680053924</v>
      </c>
    </row>
    <row r="96" spans="3:13" s="11" customFormat="1">
      <c r="C96" s="11" t="s">
        <v>41</v>
      </c>
      <c r="H96" s="11">
        <v>0</v>
      </c>
      <c r="I96" s="11">
        <v>0</v>
      </c>
      <c r="J96" s="11">
        <v>0</v>
      </c>
      <c r="K96" s="11">
        <v>0</v>
      </c>
    </row>
    <row r="97" spans="3:11" s="11" customFormat="1">
      <c r="C97" s="11" t="s">
        <v>40</v>
      </c>
      <c r="H97" s="11">
        <v>0</v>
      </c>
      <c r="I97" s="11">
        <v>0</v>
      </c>
      <c r="J97" s="11">
        <v>0</v>
      </c>
      <c r="K97" s="11">
        <v>0</v>
      </c>
    </row>
    <row r="98" spans="3:11" s="11" customFormat="1">
      <c r="C98" s="11" t="s">
        <v>42</v>
      </c>
      <c r="H98" s="11">
        <v>0</v>
      </c>
      <c r="I98" s="11">
        <v>0</v>
      </c>
      <c r="J98" s="11">
        <v>0</v>
      </c>
      <c r="K98" s="11">
        <v>0</v>
      </c>
    </row>
    <row r="99" spans="3:11">
      <c r="C99" s="1" t="s">
        <v>70</v>
      </c>
      <c r="H99" s="19">
        <v>3</v>
      </c>
      <c r="I99" s="19">
        <v>3</v>
      </c>
      <c r="J99" s="19">
        <v>3</v>
      </c>
      <c r="K99" s="19">
        <v>3</v>
      </c>
    </row>
    <row r="100" spans="3:11">
      <c r="C100" s="1" t="s">
        <v>71</v>
      </c>
      <c r="H100" s="21">
        <v>-10</v>
      </c>
      <c r="I100" s="21">
        <v>-10</v>
      </c>
      <c r="J100" s="21">
        <v>-10</v>
      </c>
      <c r="K100" s="21">
        <v>-10</v>
      </c>
    </row>
    <row r="101" spans="3:11" s="11" customFormat="1">
      <c r="C101" s="11" t="s">
        <v>46</v>
      </c>
      <c r="H101" s="11">
        <v>0</v>
      </c>
      <c r="I101" s="11">
        <v>0</v>
      </c>
      <c r="J101" s="11">
        <v>0</v>
      </c>
      <c r="K101" s="11">
        <v>0</v>
      </c>
    </row>
    <row r="102" spans="3:11" s="11" customFormat="1">
      <c r="C102" s="11" t="s">
        <v>72</v>
      </c>
      <c r="H102" s="11">
        <v>0</v>
      </c>
      <c r="I102" s="11">
        <v>0</v>
      </c>
      <c r="J102" s="11">
        <v>0</v>
      </c>
      <c r="K102" s="11">
        <v>0</v>
      </c>
    </row>
    <row r="103" spans="3:11" s="16" customFormat="1">
      <c r="C103" s="16" t="s">
        <v>73</v>
      </c>
      <c r="H103" s="16">
        <f>SUM(H96:H102)</f>
        <v>-7</v>
      </c>
      <c r="I103" s="16">
        <f>SUM(I96:I102)</f>
        <v>-7</v>
      </c>
      <c r="J103" s="16">
        <v>-7</v>
      </c>
      <c r="K103" s="16">
        <v>-7</v>
      </c>
    </row>
    <row r="105" spans="3:11" s="16" customFormat="1">
      <c r="C105" s="16" t="s">
        <v>74</v>
      </c>
      <c r="H105" s="16">
        <f>H90+H94+H103</f>
        <v>47.346347389324436</v>
      </c>
      <c r="I105" s="16">
        <f>I90+I94+I103</f>
        <v>55.963341835443153</v>
      </c>
      <c r="J105" s="16">
        <f>J90+J94+J103</f>
        <v>63.869795633727506</v>
      </c>
      <c r="K105" s="16">
        <f>K90+K94+K103</f>
        <v>72.378735394505298</v>
      </c>
    </row>
    <row r="108" spans="3:11" s="16" customFormat="1">
      <c r="C108" s="25" t="s">
        <v>75</v>
      </c>
      <c r="H108" s="16">
        <v>244.2</v>
      </c>
      <c r="I108" s="16">
        <v>300.2</v>
      </c>
      <c r="J108" s="16">
        <v>364</v>
      </c>
      <c r="K108" s="16">
        <v>436.4</v>
      </c>
    </row>
  </sheetData>
  <mergeCells count="2">
    <mergeCell ref="D2:F2"/>
    <mergeCell ref="H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2026-06-13T18:32:51Z</dcterms:created>
  <dcterms:modified xsi:type="dcterms:W3CDTF">2026-06-16T21:45:18Z</dcterms:modified>
  <cp:category/>
  <cp:contentStatus/>
</cp:coreProperties>
</file>